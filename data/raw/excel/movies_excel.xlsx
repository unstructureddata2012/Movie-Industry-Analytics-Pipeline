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milacausevic/Downloads/"/>
    </mc:Choice>
  </mc:AlternateContent>
  <xr:revisionPtr revIDLastSave="0" documentId="13_ncr:1_{82DC485B-E118-6847-87F5-9FC5EA692EF3}" xr6:coauthVersionLast="47" xr6:coauthVersionMax="47" xr10:uidLastSave="{00000000-0000-0000-0000-000000000000}"/>
  <bookViews>
    <workbookView xWindow="0" yWindow="660" windowWidth="30240" windowHeight="17440" activeTab="1" xr2:uid="{00000000-000D-0000-FFFF-FFFF00000000}"/>
  </bookViews>
  <sheets>
    <sheet name="Movie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<sst xmlns="http://schemas.openxmlformats.org/spreadsheetml/2006/main" count="55" uniqueCount="39">
  <si>
    <t>ID</t>
  </si>
  <si>
    <t>Movie Title</t>
  </si>
  <si>
    <t>Genre</t>
  </si>
  <si>
    <t>Release Year</t>
  </si>
  <si>
    <t>Director</t>
  </si>
  <si>
    <t>Budget (USD)</t>
  </si>
  <si>
    <t>Revenue (USD)</t>
  </si>
  <si>
    <t>Rating (IMDB)</t>
  </si>
  <si>
    <t>Country</t>
  </si>
  <si>
    <t>Inception</t>
  </si>
  <si>
    <t>Sci-Fi</t>
  </si>
  <si>
    <t>Christopher Nolan</t>
  </si>
  <si>
    <t>USA</t>
  </si>
  <si>
    <t>The Dark Knight</t>
  </si>
  <si>
    <t>Action</t>
  </si>
  <si>
    <t>Interstellar</t>
  </si>
  <si>
    <t>Parasite</t>
  </si>
  <si>
    <t>Thriller</t>
  </si>
  <si>
    <t>Bong Joon-ho</t>
  </si>
  <si>
    <t>South Korea</t>
  </si>
  <si>
    <t>Titanic</t>
  </si>
  <si>
    <t>Romance</t>
  </si>
  <si>
    <t>James Cameron</t>
  </si>
  <si>
    <t>Avatar</t>
  </si>
  <si>
    <t>The Godfather</t>
  </si>
  <si>
    <t>Crime</t>
  </si>
  <si>
    <t>Francis Ford Coppola</t>
  </si>
  <si>
    <t>Pulp Fiction</t>
  </si>
  <si>
    <t>Quentin Tarantino</t>
  </si>
  <si>
    <t>The Matrix</t>
  </si>
  <si>
    <t>The Wachowskis</t>
  </si>
  <si>
    <t>Gladiator</t>
  </si>
  <si>
    <t>Ridley Scott</t>
  </si>
  <si>
    <t>Metric</t>
  </si>
  <si>
    <t>Value</t>
  </si>
  <si>
    <t>Total Movies</t>
  </si>
  <si>
    <t>Average Rating</t>
  </si>
  <si>
    <t>Total Revenue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</si>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</sst>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D18" sqref="D18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>
        <v>2010</v>
      </c>
      <c r="E2" t="s">
        <v>11</v>
      </c>
      <c r="F2">
        <v>160000000</v>
      </c>
      <c r="G2">
        <v>829895144</v>
      </c>
      <c r="H2">
        <v>8.8000000000000007</v>
      </c>
      <c r="I2" t="s">
        <v>12</v>
      </c>
    </row>
    <row r="3" spans="1:9" x14ac:dyDescent="0.2">
      <c r="A3">
        <v>2</v>
      </c>
      <c r="B3" t="s">
        <v>13</v>
      </c>
      <c r="C3" t="s">
        <v>14</v>
      </c>
      <c r="D3">
        <v>2008</v>
      </c>
      <c r="E3" t="s">
        <v>11</v>
      </c>
      <c r="F3">
        <v>185000000</v>
      </c>
      <c r="G3">
        <v>1004558444</v>
      </c>
      <c r="H3">
        <v>9</v>
      </c>
      <c r="I3" t="s">
        <v>12</v>
      </c>
    </row>
    <row r="4" spans="1:9" x14ac:dyDescent="0.2">
      <c r="A4">
        <v>3</v>
      </c>
      <c r="B4" t="s">
        <v>15</v>
      </c>
      <c r="C4" t="s">
        <v>10</v>
      </c>
      <c r="D4">
        <v>2014</v>
      </c>
      <c r="E4" t="s">
        <v>11</v>
      </c>
      <c r="F4">
        <v>165000000</v>
      </c>
      <c r="G4">
        <v>677471339</v>
      </c>
      <c r="H4">
        <v>8.6</v>
      </c>
      <c r="I4" t="s">
        <v>12</v>
      </c>
    </row>
    <row r="5" spans="1:9" x14ac:dyDescent="0.2">
      <c r="A5">
        <v>4</v>
      </c>
      <c r="B5" t="s">
        <v>16</v>
      </c>
      <c r="C5" t="s">
        <v>17</v>
      </c>
      <c r="D5">
        <v>2019</v>
      </c>
      <c r="E5" t="s">
        <v>18</v>
      </c>
      <c r="F5">
        <v>11400000</v>
      </c>
      <c r="G5">
        <v>258800000</v>
      </c>
      <c r="H5">
        <v>8.6</v>
      </c>
      <c r="I5" t="s">
        <v>19</v>
      </c>
    </row>
    <row r="6" spans="1:9" x14ac:dyDescent="0.2">
      <c r="A6">
        <v>5</v>
      </c>
      <c r="B6" t="s">
        <v>20</v>
      </c>
      <c r="C6" t="s">
        <v>21</v>
      </c>
      <c r="D6">
        <v>1997</v>
      </c>
      <c r="E6" t="s">
        <v>22</v>
      </c>
      <c r="F6">
        <v>200000000</v>
      </c>
      <c r="G6">
        <v>2201647264</v>
      </c>
      <c r="H6">
        <v>7.9</v>
      </c>
      <c r="I6" t="s">
        <v>12</v>
      </c>
    </row>
    <row r="7" spans="1:9" x14ac:dyDescent="0.2">
      <c r="A7">
        <v>6</v>
      </c>
      <c r="B7" t="s">
        <v>23</v>
      </c>
      <c r="C7" t="s">
        <v>10</v>
      </c>
      <c r="D7">
        <v>2009</v>
      </c>
      <c r="E7" t="s">
        <v>22</v>
      </c>
      <c r="F7">
        <v>237000000</v>
      </c>
      <c r="G7">
        <v>2923706026</v>
      </c>
      <c r="H7">
        <v>7.8</v>
      </c>
      <c r="I7" t="s">
        <v>12</v>
      </c>
    </row>
    <row r="8" spans="1:9" x14ac:dyDescent="0.2">
      <c r="A8">
        <v>7</v>
      </c>
      <c r="B8" t="s">
        <v>24</v>
      </c>
      <c r="C8" t="s">
        <v>25</v>
      </c>
      <c r="D8">
        <v>1972</v>
      </c>
      <c r="E8" t="s">
        <v>26</v>
      </c>
      <c r="F8">
        <v>6000000</v>
      </c>
      <c r="G8">
        <v>246120974</v>
      </c>
      <c r="H8">
        <v>9.1999999999999993</v>
      </c>
      <c r="I8" t="s">
        <v>12</v>
      </c>
    </row>
    <row r="9" spans="1:9" x14ac:dyDescent="0.2">
      <c r="A9">
        <v>8</v>
      </c>
      <c r="B9" t="s">
        <v>27</v>
      </c>
      <c r="C9" t="s">
        <v>25</v>
      </c>
      <c r="D9">
        <v>1994</v>
      </c>
      <c r="E9" t="s">
        <v>28</v>
      </c>
      <c r="F9">
        <v>8000000</v>
      </c>
      <c r="G9">
        <v>213928762</v>
      </c>
      <c r="H9">
        <v>8.9</v>
      </c>
      <c r="I9" t="s">
        <v>12</v>
      </c>
    </row>
    <row r="10" spans="1:9" x14ac:dyDescent="0.2">
      <c r="A10">
        <v>9</v>
      </c>
      <c r="B10" t="s">
        <v>29</v>
      </c>
      <c r="C10" t="s">
        <v>10</v>
      </c>
      <c r="D10">
        <v>1999</v>
      </c>
      <c r="E10" t="s">
        <v>30</v>
      </c>
      <c r="F10">
        <v>63000000</v>
      </c>
      <c r="G10">
        <v>466364845</v>
      </c>
      <c r="H10">
        <v>8.6999999999999993</v>
      </c>
      <c r="I10" t="s">
        <v>12</v>
      </c>
    </row>
    <row r="11" spans="1:9" x14ac:dyDescent="0.2">
      <c r="A11">
        <v>10</v>
      </c>
      <c r="B11" t="s">
        <v>31</v>
      </c>
      <c r="C11" t="s">
        <v>14</v>
      </c>
      <c r="D11">
        <v>2000</v>
      </c>
      <c r="E11" t="s">
        <v>32</v>
      </c>
      <c r="F11">
        <v>103000000</v>
      </c>
      <c r="G11">
        <v>460583960</v>
      </c>
      <c r="H11">
        <v>8.5</v>
      </c>
      <c r="I1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7.33203125" customWidth="1"/>
    <col min="2" max="2" width="20.5" customWidth="1"/>
  </cols>
  <sheetData>
    <row r="1" spans="1:2" x14ac:dyDescent="0.2">
      <c r="A1" t="s">
        <v>33</v>
      </c>
      <c r="B1" t="s">
        <v>34</v>
      </c>
    </row>
    <row r="2" spans="1:2" x14ac:dyDescent="0.2">
      <c r="A2" t="s">
        <v>35</v>
      </c>
      <c r="B2">
        <v>10</v>
      </c>
    </row>
    <row r="3" spans="1:2" x14ac:dyDescent="0.2">
      <c r="A3" t="s">
        <v>36</v>
      </c>
      <c r="B3">
        <f>AVERAGE('Movie Data'!H2:H11)</f>
        <v>8.6</v>
      </c>
    </row>
    <row r="4" spans="1:2" x14ac:dyDescent="0.2">
      <c r="A4" t="s">
        <v>37</v>
      </c>
      <c r="B4">
        <f>SUM('Movie Data'!G2:G11)</f>
        <v>9283076758</v>
      </c>
    </row>
    <row r="5" spans="1:2" x14ac:dyDescent="0.2">
      <c r="A5" t="s">
        <v>38</v>
      </c>
      <c r="B5">
        <f>SUM('Movie Data'!F2:F11)</f>
        <v>1138400000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Amila Causevic</cp:lastModifiedBy>
  <dcterms:created xsi:type="dcterms:W3CDTF">2026-03-24T23:38:13Z</dcterms:created>
  <dcterms:modified xsi:type="dcterms:W3CDTF">2026-03-24T23:39:16Z</dcterms:modified>
</cp:coreProperties>
</file>